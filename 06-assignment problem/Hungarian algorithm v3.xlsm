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812" codeName="{801CCD77-7B78-1753-DF39-40050F3742D7}"/>
  <workbookPr codeName="ThisWorkbook"/>
  <mc:AlternateContent xmlns:mc="http://schemas.openxmlformats.org/markup-compatibility/2006">
    <mc:Choice Requires="x15">
      <x15ac:absPath xmlns:x15ac="http://schemas.microsoft.com/office/spreadsheetml/2010/11/ac" url="https://justiceuk-my.sharepoint.com/personal/thomas_hirsch_justice_gov_uk/Documents/FS allocation/"/>
    </mc:Choice>
  </mc:AlternateContent>
  <xr:revisionPtr revIDLastSave="581" documentId="11_CDA6005DD4AFC3C0209EF3893AA6276636ADBC97" xr6:coauthVersionLast="45" xr6:coauthVersionMax="45" xr10:uidLastSave="{E4A82042-53D3-2441-86B3-7E1C9E4E6FCC}"/>
  <bookViews>
    <workbookView xWindow="35840" yWindow="-1580" windowWidth="38400" windowHeight="21140" activeTab="1" xr2:uid="{00000000-000D-0000-FFFF-FFFF00000000}"/>
  </bookViews>
  <sheets>
    <sheet name="Introduction" sheetId="2" r:id="rId1"/>
    <sheet name="Model" sheetId="1" r:id="rId2"/>
    <sheet name="Version log" sheetId="3" r:id="rId3"/>
  </sheets>
  <functionGroups builtInGroupCount="19"/>
  <definedNames>
    <definedName name="allocated">Model!$D$38:$M$38</definedName>
    <definedName name="Blanks">Model!$C$9</definedName>
    <definedName name="input">Model!$D$13:$M$22</definedName>
    <definedName name="output">Model!$D$27:$M$36</definedName>
    <definedName name="PriorityGroups">Model!$C$4:$C$6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 i="1" l="1"/>
  <c r="C5" i="1"/>
  <c r="C4" i="1"/>
  <c r="E38" i="1"/>
  <c r="F38" i="1"/>
  <c r="G38" i="1"/>
  <c r="H38" i="1"/>
  <c r="I38" i="1"/>
  <c r="J38" i="1"/>
  <c r="K38" i="1"/>
  <c r="L38" i="1"/>
  <c r="M38" i="1"/>
  <c r="D38" i="1"/>
  <c r="D24" i="1"/>
  <c r="E24" i="1"/>
  <c r="F24" i="1"/>
  <c r="G24" i="1"/>
  <c r="H24" i="1"/>
  <c r="I24" i="1"/>
  <c r="J24" i="1"/>
  <c r="K24" i="1"/>
  <c r="L24" i="1"/>
  <c r="M24" i="1"/>
  <c r="BB40" i="1"/>
  <c r="AY40" i="1"/>
  <c r="P27" i="1"/>
  <c r="P28" i="1"/>
  <c r="P29" i="1"/>
  <c r="P30" i="1"/>
  <c r="P31" i="1"/>
  <c r="P32" i="1"/>
  <c r="P33" i="1"/>
  <c r="P34" i="1"/>
  <c r="P35" i="1"/>
  <c r="P36" i="1"/>
  <c r="BB39" i="1"/>
  <c r="O36" i="1"/>
  <c r="O35" i="1"/>
  <c r="O34" i="1"/>
  <c r="O33" i="1"/>
  <c r="O32" i="1"/>
  <c r="O31" i="1"/>
  <c r="O30" i="1"/>
  <c r="O29" i="1"/>
  <c r="O28" i="1"/>
  <c r="O27" i="1"/>
  <c r="AY39" i="1"/>
  <c r="C9" i="1"/>
  <c r="O14" i="1"/>
  <c r="O15" i="1"/>
  <c r="O16" i="1"/>
  <c r="O17" i="1"/>
  <c r="O18" i="1"/>
  <c r="O19" i="1"/>
  <c r="O20" i="1"/>
  <c r="O21" i="1"/>
  <c r="O22" i="1"/>
  <c r="O13" i="1"/>
  <c r="P38" i="1" l="1"/>
  <c r="Q35" i="1"/>
  <c r="Q28" i="1"/>
  <c r="Q32" i="1"/>
  <c r="Q29" i="1"/>
  <c r="Q31" i="1"/>
  <c r="Q36" i="1"/>
  <c r="Q30" i="1"/>
  <c r="Q34" i="1"/>
  <c r="Q33" i="1"/>
  <c r="AT40" i="1"/>
  <c r="O24" i="1"/>
  <c r="AT39" i="1"/>
  <c r="Q27" i="1"/>
</calcChain>
</file>

<file path=xl/sharedStrings.xml><?xml version="1.0" encoding="utf-8"?>
<sst xmlns="http://schemas.openxmlformats.org/spreadsheetml/2006/main" count="49" uniqueCount="36">
  <si>
    <t>Input</t>
  </si>
  <si>
    <t>Allocation</t>
  </si>
  <si>
    <t>Suggested allocation</t>
  </si>
  <si>
    <t>Applicant</t>
  </si>
  <si>
    <t>average preference</t>
  </si>
  <si>
    <t>Was it one of their preferences?</t>
  </si>
  <si>
    <t>Blanks</t>
  </si>
  <si>
    <t>Indifference cost</t>
  </si>
  <si>
    <t>Standard deviation</t>
  </si>
  <si>
    <t>Min choice</t>
  </si>
  <si>
    <t>average</t>
  </si>
  <si>
    <t>Priority</t>
  </si>
  <si>
    <t>Allocated</t>
  </si>
  <si>
    <t>Version log</t>
  </si>
  <si>
    <t>V1</t>
  </si>
  <si>
    <t>Initial release</t>
  </si>
  <si>
    <t>v2</t>
  </si>
  <si>
    <t>v3</t>
  </si>
  <si>
    <t>Add support for multiple runs, e.g. for giving 3rd years priority</t>
  </si>
  <si>
    <t>Upgraded to .xlsm; improved support for multiple allocation rounds; changed integers to doubles so the algorithm can handle non-integers</t>
  </si>
  <si>
    <t>count</t>
  </si>
  <si>
    <t>Priorty Group</t>
  </si>
  <si>
    <t>Priority Groups</t>
  </si>
  <si>
    <t>a</t>
  </si>
  <si>
    <t>Job</t>
  </si>
  <si>
    <t>b</t>
  </si>
  <si>
    <t>c</t>
  </si>
  <si>
    <t>d</t>
  </si>
  <si>
    <t>f</t>
  </si>
  <si>
    <t>e</t>
  </si>
  <si>
    <t>g</t>
  </si>
  <si>
    <t>h</t>
  </si>
  <si>
    <t>i</t>
  </si>
  <si>
    <t>j</t>
  </si>
  <si>
    <t>Preference</t>
  </si>
  <si>
    <t>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</si>
</sst>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0"/>
      <name val="Arial"/>
    </font>
    <font>
      <sz val="8"/>
      <name val="Arial"/>
      <family val="2"/>
    </font>
    <font>
      <sz val="10"/>
      <name val="Arial"/>
      <family val="2"/>
    </font>
    <font>
      <sz val="10"/>
      <color rgb="FF000000"/>
      <name val="Arial"/>
      <family val="2"/>
    </font>
  </fonts>
  <fills count="3">
    <fill>
      <patternFill patternType="none"/>
    </fill>
    <fill>
      <patternFill patternType="gray125"/>
    </fill>
    <fill>
      <patternFill patternType="solid">
        <fgColor indexed="42"/>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1">
    <xf numFmtId="0" fontId="0" fillId="0" borderId="0" xfId="0"/>
    <xf numFmtId="0" fontId="0" fillId="2" borderId="0" xfId="0" applyFill="1"/>
    <xf numFmtId="0" fontId="0" fillId="0" borderId="1" xfId="0" applyBorder="1"/>
    <xf numFmtId="0" fontId="0" fillId="0" borderId="2" xfId="0" applyBorder="1"/>
    <xf numFmtId="0" fontId="0" fillId="0" borderId="3" xfId="0" applyBorder="1"/>
    <xf numFmtId="0" fontId="0" fillId="0" borderId="0" xfId="0" applyBorder="1"/>
    <xf numFmtId="164" fontId="0" fillId="0" borderId="0" xfId="0" applyNumberFormat="1"/>
    <xf numFmtId="0" fontId="2" fillId="2" borderId="0" xfId="0" applyFont="1" applyFill="1"/>
    <xf numFmtId="2" fontId="0" fillId="0" borderId="0" xfId="0" applyNumberFormat="1"/>
    <xf numFmtId="0" fontId="2" fillId="0" borderId="0" xfId="0" applyFont="1"/>
    <xf numFmtId="0" fontId="2" fillId="0" borderId="6" xfId="0" applyFont="1" applyBorder="1"/>
    <xf numFmtId="0" fontId="0" fillId="0" borderId="7" xfId="0" applyBorder="1"/>
    <xf numFmtId="0" fontId="0" fillId="0" borderId="6" xfId="0" applyBorder="1"/>
    <xf numFmtId="0" fontId="0" fillId="0" borderId="8" xfId="0" applyBorder="1"/>
    <xf numFmtId="0" fontId="0" fillId="0" borderId="9" xfId="0" applyBorder="1"/>
    <xf numFmtId="1" fontId="0" fillId="0" borderId="4" xfId="0" applyNumberFormat="1" applyBorder="1"/>
    <xf numFmtId="1" fontId="0" fillId="0" borderId="5" xfId="0" applyNumberFormat="1" applyBorder="1"/>
    <xf numFmtId="1" fontId="0" fillId="0" borderId="6" xfId="0" applyNumberFormat="1" applyBorder="1"/>
    <xf numFmtId="1" fontId="0" fillId="0" borderId="0" xfId="0" applyNumberFormat="1" applyBorder="1"/>
    <xf numFmtId="0" fontId="2" fillId="0" borderId="10" xfId="0" applyFont="1" applyBorder="1" applyAlignment="1">
      <alignment horizontal="center"/>
    </xf>
    <xf numFmtId="0" fontId="0" fillId="0" borderId="11" xfId="0" applyBorder="1" applyAlignment="1">
      <alignment horizontal="center"/>
    </xf>
  </cellXfs>
  <cellStyles count="1">
    <cellStyle name="Normal" xfId="0" builtinId="0"/>
  </cellStyles>
  <dxfs count="1">
    <dxf>
      <font>
        <condense val="0"/>
        <extend val="0"/>
        <color auto="1"/>
      </font>
      <fill>
        <patternFill>
          <bgColor indexed="4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1</xdr:col>
      <xdr:colOff>466725</xdr:colOff>
      <xdr:row>1</xdr:row>
      <xdr:rowOff>28575</xdr:rowOff>
    </xdr:from>
    <xdr:to>
      <xdr:col>12</xdr:col>
      <xdr:colOff>209550</xdr:colOff>
      <xdr:row>42</xdr:row>
      <xdr:rowOff>104775</xdr:rowOff>
    </xdr:to>
    <xdr:sp macro="" textlink="">
      <xdr:nvSpPr>
        <xdr:cNvPr id="2055" name="Text Box 1">
          <a:extLst>
            <a:ext uri="{FF2B5EF4-FFF2-40B4-BE49-F238E27FC236}">
              <a16:creationId xmlns:a16="http://schemas.microsoft.com/office/drawing/2014/main" id="{00000000-0008-0000-0000-000007080000}"/>
            </a:ext>
          </a:extLst>
        </xdr:cNvPr>
        <xdr:cNvSpPr txBox="1">
          <a:spLocks noChangeArrowheads="1"/>
        </xdr:cNvSpPr>
      </xdr:nvSpPr>
      <xdr:spPr bwMode="auto">
        <a:xfrm>
          <a:off x="1076325" y="190500"/>
          <a:ext cx="6448425" cy="6715125"/>
        </a:xfrm>
        <a:prstGeom prst="rect">
          <a:avLst/>
        </a:prstGeom>
        <a:noFill/>
        <a:ln w="9525">
          <a:solidFill>
            <a:srgbClr val="000000"/>
          </a:solidFill>
          <a:miter lim="800000"/>
          <a:headEnd/>
          <a:tailEnd/>
        </a:ln>
      </xdr:spPr>
      <xdr:txBody>
        <a:bodyPr vertOverflow="clip" wrap="square" lIns="36576" tIns="27432" rIns="0" bIns="0" anchor="t" upright="1"/>
        <a:lstStyle/>
        <a:p>
          <a:pPr algn="l" rtl="0">
            <a:defRPr sz="1000"/>
          </a:pPr>
          <a:r>
            <a:rPr lang="en-GB" sz="1400" b="1" i="0" u="none" strike="noStrike" baseline="0">
              <a:solidFill>
                <a:srgbClr val="000000"/>
              </a:solidFill>
              <a:latin typeface="Arial"/>
              <a:cs typeface="Arial"/>
            </a:rPr>
            <a:t>Assignment problem tool</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This tool is used to solve the Assignment Problem - assigning workers to jobs for a minimum cost, or to assign people on a job rotation scheme to posts according to their ranked preferences.</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To use this tool:</a:t>
          </a:r>
        </a:p>
        <a:p>
          <a:pPr algn="l" rtl="0">
            <a:defRPr sz="1000"/>
          </a:pPr>
          <a:r>
            <a:rPr lang="en-GB" sz="1000" b="0" i="0" u="none" strike="noStrike" baseline="0">
              <a:solidFill>
                <a:srgbClr val="000000"/>
              </a:solidFill>
              <a:latin typeface="Arial"/>
              <a:cs typeface="Arial"/>
            </a:rPr>
            <a:t>1. Set the input and output ranges by selecting an area and pressing the corresponding buttons. Input and output ranges must be equal size and shape.</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2. Fill the input with the cost, or rank, associated with assigning jobs(columns) to workers (rows).</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3. If some workers don't assign a rank to some of the jobs, either they are indifferent about where they get assigned if they can't get one of their preferences, or they they are ineligible for that job. There are a couple of ways of handling this:</a:t>
          </a:r>
        </a:p>
        <a:p>
          <a:pPr algn="l" rtl="0">
            <a:defRPr sz="1000"/>
          </a:pPr>
          <a:r>
            <a:rPr lang="en-GB" sz="1000" b="0" i="0" u="none" strike="noStrike" baseline="0">
              <a:solidFill>
                <a:srgbClr val="000000"/>
              </a:solidFill>
              <a:latin typeface="Arial"/>
              <a:cs typeface="Arial"/>
            </a:rPr>
            <a:t>3a. If the former, press "fill in blanks" to add dummy values. The first button assumes that each worker's indifference costs one more than its least favourite choice (i.e. if they gave their top 3 choices, their "#4 choice" would be any of the others). The second button gives all unranked options the same cost, which is 1 higher than the highest preference in the table.</a:t>
          </a:r>
        </a:p>
        <a:p>
          <a:pPr algn="l" rtl="0">
            <a:defRPr sz="1000"/>
          </a:pPr>
          <a:r>
            <a:rPr lang="en-GB" sz="1000" b="0" i="0" u="none" strike="noStrike" baseline="0">
              <a:solidFill>
                <a:srgbClr val="000000"/>
              </a:solidFill>
              <a:latin typeface="Arial"/>
              <a:cs typeface="Arial"/>
            </a:rPr>
            <a:t>3b. If a worker is unable to do a job, assign it an arbitrarily large cost value to exclude it from the allocation process. This should be done after filling in the blanks. You could also click the second "fill in blanks" box, which sets all blanks to 1 more than the highest cost in the table.</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4. Once the cost matrix is completely full, click optimize to generate the optimal allocation. Allocations are represented by a 1 in the output table.</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5. You may want to give preference to a certain group of people, e.g. Fast Streamers in their third year get first preference. In this circumstance, you can perform multiple runs of the algorithm, setting the inputs and outputs to correspond to a subset of the data. So long as you have a named range called "allocated" that updates after each round of allocations, the algorithm will exclude already-allocated jobs from being allocated again.</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For more information, here are some resources:</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http://en.wikipedia.org/wiki/Assignment_problem</a:t>
          </a:r>
        </a:p>
        <a:p>
          <a:pPr algn="l" rtl="0">
            <a:defRPr sz="1000"/>
          </a:pPr>
          <a:r>
            <a:rPr lang="en-GB" sz="1000" b="0" i="0" u="none" strike="noStrike" baseline="0">
              <a:solidFill>
                <a:srgbClr val="000000"/>
              </a:solidFill>
              <a:latin typeface="Arial"/>
              <a:cs typeface="Arial"/>
            </a:rPr>
            <a:t>http://en.wikipedia.org/wiki/Hungarian_algorithm</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This tool was made by Thomas Hirsch. For help, contact him at Thomas.hirsch@justice.gsi.gov.uk</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The algorithm was adapted from an implementation and modification of the Hungarian Algorithm, by Bob Pilgrim:</a:t>
          </a:r>
        </a:p>
        <a:p>
          <a:pPr algn="l" rtl="0">
            <a:defRPr sz="1000"/>
          </a:pPr>
          <a:r>
            <a:rPr lang="en-GB" sz="1000" b="0" i="0" u="none" strike="noStrike" baseline="0">
              <a:solidFill>
                <a:srgbClr val="000000"/>
              </a:solidFill>
              <a:latin typeface="Arial"/>
              <a:cs typeface="Arial"/>
            </a:rPr>
            <a:t>http://csclab.murraystate.edu/bob.pilgrim/445/munkres.html</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6</xdr:col>
          <xdr:colOff>0</xdr:colOff>
          <xdr:row>4</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Optimize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12</xdr:col>
          <xdr:colOff>0</xdr:colOff>
          <xdr:row>4</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Generate random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0</xdr:row>
          <xdr:rowOff>0</xdr:rowOff>
        </xdr:from>
        <xdr:to>
          <xdr:col>9</xdr:col>
          <xdr:colOff>0</xdr:colOff>
          <xdr:row>3</xdr:row>
          <xdr:rowOff>139700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Fill in blanks - worker's max preference + 1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0</xdr:row>
          <xdr:rowOff>0</xdr:rowOff>
        </xdr:from>
        <xdr:to>
          <xdr:col>14</xdr:col>
          <xdr:colOff>609600</xdr:colOff>
          <xdr:row>3</xdr:row>
          <xdr:rowOff>139700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Set Input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5</xdr:row>
          <xdr:rowOff>0</xdr:rowOff>
        </xdr:from>
        <xdr:to>
          <xdr:col>14</xdr:col>
          <xdr:colOff>609600</xdr:colOff>
          <xdr:row>9</xdr:row>
          <xdr:rowOff>25400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Set Output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0</xdr:rowOff>
        </xdr:from>
        <xdr:to>
          <xdr:col>9</xdr:col>
          <xdr:colOff>0</xdr:colOff>
          <xdr:row>8</xdr:row>
          <xdr:rowOff>152400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Fill in blanks - global max preference + 1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18</xdr:col>
          <xdr:colOff>0</xdr:colOff>
          <xdr:row>4</xdr:row>
          <xdr:rowOff>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Set Allocated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5</xdr:row>
          <xdr:rowOff>0</xdr:rowOff>
        </xdr:from>
        <xdr:to>
          <xdr:col>18</xdr:col>
          <xdr:colOff>0</xdr:colOff>
          <xdr:row>9</xdr:row>
          <xdr:rowOff>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Set Priority Group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xdr:row>
          <xdr:rowOff>0</xdr:rowOff>
        </xdr:from>
        <xdr:to>
          <xdr:col>6</xdr:col>
          <xdr:colOff>0</xdr:colOff>
          <xdr:row>9</xdr:row>
          <xdr:rowOff>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Optimize (priority groups)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showGridLines="0" workbookViewId="0">
      <selection activeCell="P19" sqref="P19"/>
    </sheetView>
  </sheetViews>
  <sheetFormatPr baseColWidth="10" defaultColWidth="8.83203125" defaultRowHeight="13" x14ac:dyDescent="0.15"/>
  <sheetData/>
  <phoneticPr fontId="1" type="noConversion"/>
  <pageMargins left="0.75" right="0.75" top="1" bottom="1" header="0.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B40"/>
  <sheetViews>
    <sheetView tabSelected="1" zoomScale="172" workbookViewId="0">
      <selection activeCell="D13" sqref="D13:M13"/>
    </sheetView>
  </sheetViews>
  <sheetFormatPr baseColWidth="10" defaultColWidth="8.83203125" defaultRowHeight="13" x14ac:dyDescent="0.15"/>
  <cols>
    <col min="2" max="2" width="12" bestFit="1" customWidth="1"/>
    <col min="15" max="15" width="18.83203125" customWidth="1"/>
    <col min="16" max="16" width="13.5" customWidth="1"/>
    <col min="45" max="45" width="18.5" bestFit="1" customWidth="1"/>
    <col min="46" max="46" width="12.33203125" bestFit="1" customWidth="1"/>
    <col min="50" max="50" width="16.5" bestFit="1" customWidth="1"/>
  </cols>
  <sheetData>
    <row r="1" spans="1:15" ht="14" thickBot="1" x14ac:dyDescent="0.2"/>
    <row r="2" spans="1:15" ht="14" thickBot="1" x14ac:dyDescent="0.2">
      <c r="B2" s="19" t="s">
        <v>22</v>
      </c>
      <c r="C2" s="20"/>
    </row>
    <row r="3" spans="1:15" x14ac:dyDescent="0.15">
      <c r="B3" s="10" t="s">
        <v>21</v>
      </c>
      <c r="C3" s="11" t="s">
        <v>20</v>
      </c>
    </row>
    <row r="4" spans="1:15" x14ac:dyDescent="0.15">
      <c r="B4" s="12">
        <v>1</v>
      </c>
      <c r="C4" s="11">
        <f>COUNTIF($B$13:$B$22,B4)</f>
        <v>10</v>
      </c>
    </row>
    <row r="5" spans="1:15" x14ac:dyDescent="0.15">
      <c r="B5" s="12">
        <v>2</v>
      </c>
      <c r="C5" s="11">
        <f>COUNTIF($B$13:$B$22,B5)</f>
        <v>0</v>
      </c>
    </row>
    <row r="6" spans="1:15" ht="14" thickBot="1" x14ac:dyDescent="0.2">
      <c r="B6" s="13">
        <v>3</v>
      </c>
      <c r="C6" s="14">
        <f>COUNTIF($B$13:$B$22,B6)</f>
        <v>0</v>
      </c>
    </row>
    <row r="9" spans="1:15" x14ac:dyDescent="0.15">
      <c r="B9" t="s">
        <v>6</v>
      </c>
      <c r="C9">
        <f>COUNTBLANK(input)</f>
        <v>0</v>
      </c>
    </row>
    <row r="11" spans="1:15" x14ac:dyDescent="0.15">
      <c r="A11" t="s">
        <v>0</v>
      </c>
      <c r="D11" s="9" t="s">
        <v>24</v>
      </c>
    </row>
    <row r="12" spans="1:15" ht="14" thickBot="1" x14ac:dyDescent="0.2">
      <c r="B12" t="s">
        <v>11</v>
      </c>
      <c r="C12" t="s">
        <v>3</v>
      </c>
      <c r="D12" s="7" t="s">
        <v>23</v>
      </c>
      <c r="E12" s="7" t="s">
        <v>25</v>
      </c>
      <c r="F12" s="7" t="s">
        <v>26</v>
      </c>
      <c r="G12" s="7" t="s">
        <v>27</v>
      </c>
      <c r="H12" s="7" t="s">
        <v>29</v>
      </c>
      <c r="I12" s="7" t="s">
        <v>28</v>
      </c>
      <c r="J12" s="7" t="s">
        <v>30</v>
      </c>
      <c r="K12" s="7" t="s">
        <v>31</v>
      </c>
      <c r="L12" s="7" t="s">
        <v>32</v>
      </c>
      <c r="M12" s="7" t="s">
        <v>33</v>
      </c>
      <c r="O12" s="7" t="s">
        <v>7</v>
      </c>
    </row>
    <row r="13" spans="1:15" x14ac:dyDescent="0.15">
      <c r="B13">
        <v>1</v>
      </c>
      <c r="C13" s="7">
        <v>1</v>
      </c>
      <c r="D13" s="15">
        <v>2</v>
      </c>
      <c r="E13" s="16">
        <v>4</v>
      </c>
      <c r="F13" s="16">
        <v>5</v>
      </c>
      <c r="G13" s="16">
        <v>2</v>
      </c>
      <c r="H13" s="16">
        <v>7</v>
      </c>
      <c r="I13" s="16">
        <v>1</v>
      </c>
      <c r="J13" s="16">
        <v>3</v>
      </c>
      <c r="K13" s="16">
        <v>7</v>
      </c>
      <c r="L13" s="16">
        <v>6</v>
      </c>
      <c r="M13" s="16">
        <v>2</v>
      </c>
      <c r="O13">
        <f t="shared" ref="O13:O22" si="0">MAX(D13:M13)</f>
        <v>7</v>
      </c>
    </row>
    <row r="14" spans="1:15" x14ac:dyDescent="0.15">
      <c r="B14">
        <v>1</v>
      </c>
      <c r="C14" s="7">
        <v>2</v>
      </c>
      <c r="D14" s="17">
        <v>10</v>
      </c>
      <c r="E14" s="18">
        <v>5</v>
      </c>
      <c r="F14" s="18">
        <v>1</v>
      </c>
      <c r="G14" s="18">
        <v>5</v>
      </c>
      <c r="H14" s="18">
        <v>3</v>
      </c>
      <c r="I14" s="18">
        <v>8</v>
      </c>
      <c r="J14" s="18">
        <v>9</v>
      </c>
      <c r="K14" s="18">
        <v>9</v>
      </c>
      <c r="L14" s="18">
        <v>2</v>
      </c>
      <c r="M14" s="18">
        <v>2</v>
      </c>
      <c r="O14">
        <f t="shared" si="0"/>
        <v>10</v>
      </c>
    </row>
    <row r="15" spans="1:15" x14ac:dyDescent="0.15">
      <c r="B15">
        <v>1</v>
      </c>
      <c r="C15" s="7">
        <v>3</v>
      </c>
      <c r="D15" s="17">
        <v>1</v>
      </c>
      <c r="E15" s="18">
        <v>2</v>
      </c>
      <c r="F15" s="18">
        <v>4</v>
      </c>
      <c r="G15" s="18">
        <v>2</v>
      </c>
      <c r="H15" s="18">
        <v>10</v>
      </c>
      <c r="I15" s="18">
        <v>9</v>
      </c>
      <c r="J15" s="18">
        <v>6</v>
      </c>
      <c r="K15" s="18">
        <v>8</v>
      </c>
      <c r="L15" s="18">
        <v>2</v>
      </c>
      <c r="M15" s="18">
        <v>3</v>
      </c>
      <c r="O15">
        <f t="shared" si="0"/>
        <v>10</v>
      </c>
    </row>
    <row r="16" spans="1:15" x14ac:dyDescent="0.15">
      <c r="B16">
        <v>1</v>
      </c>
      <c r="C16" s="7">
        <v>4</v>
      </c>
      <c r="D16" s="17">
        <v>1</v>
      </c>
      <c r="E16" s="18">
        <v>9</v>
      </c>
      <c r="F16" s="18">
        <v>8</v>
      </c>
      <c r="G16" s="18">
        <v>8</v>
      </c>
      <c r="H16" s="18">
        <v>4</v>
      </c>
      <c r="I16" s="18">
        <v>5</v>
      </c>
      <c r="J16" s="18">
        <v>6</v>
      </c>
      <c r="K16" s="18">
        <v>9</v>
      </c>
      <c r="L16" s="18">
        <v>6</v>
      </c>
      <c r="M16" s="18">
        <v>3</v>
      </c>
      <c r="O16">
        <f t="shared" si="0"/>
        <v>9</v>
      </c>
    </row>
    <row r="17" spans="1:17" x14ac:dyDescent="0.15">
      <c r="B17">
        <v>1</v>
      </c>
      <c r="C17" s="7">
        <v>5</v>
      </c>
      <c r="D17" s="17">
        <v>3</v>
      </c>
      <c r="E17" s="18">
        <v>4</v>
      </c>
      <c r="F17" s="18">
        <v>6</v>
      </c>
      <c r="G17" s="18">
        <v>4</v>
      </c>
      <c r="H17" s="18">
        <v>6</v>
      </c>
      <c r="I17" s="18">
        <v>5</v>
      </c>
      <c r="J17" s="18">
        <v>6</v>
      </c>
      <c r="K17" s="18">
        <v>1</v>
      </c>
      <c r="L17" s="18">
        <v>6</v>
      </c>
      <c r="M17" s="18">
        <v>3</v>
      </c>
      <c r="O17">
        <f t="shared" si="0"/>
        <v>6</v>
      </c>
    </row>
    <row r="18" spans="1:17" x14ac:dyDescent="0.15">
      <c r="B18">
        <v>1</v>
      </c>
      <c r="C18" s="7">
        <v>6</v>
      </c>
      <c r="D18" s="17">
        <v>10</v>
      </c>
      <c r="E18" s="18">
        <v>10</v>
      </c>
      <c r="F18" s="18">
        <v>10</v>
      </c>
      <c r="G18" s="18">
        <v>9</v>
      </c>
      <c r="H18" s="18">
        <v>5</v>
      </c>
      <c r="I18" s="18">
        <v>9</v>
      </c>
      <c r="J18" s="18">
        <v>10</v>
      </c>
      <c r="K18" s="18">
        <v>3</v>
      </c>
      <c r="L18" s="18">
        <v>2</v>
      </c>
      <c r="M18" s="18">
        <v>7</v>
      </c>
      <c r="O18">
        <f t="shared" si="0"/>
        <v>10</v>
      </c>
    </row>
    <row r="19" spans="1:17" x14ac:dyDescent="0.15">
      <c r="B19">
        <v>1</v>
      </c>
      <c r="C19" s="7">
        <v>7</v>
      </c>
      <c r="D19" s="17">
        <v>1</v>
      </c>
      <c r="E19" s="18">
        <v>4</v>
      </c>
      <c r="F19" s="18">
        <v>7</v>
      </c>
      <c r="G19" s="18">
        <v>2</v>
      </c>
      <c r="H19" s="18">
        <v>2</v>
      </c>
      <c r="I19" s="18">
        <v>3</v>
      </c>
      <c r="J19" s="18">
        <v>4</v>
      </c>
      <c r="K19" s="18">
        <v>6</v>
      </c>
      <c r="L19" s="18">
        <v>4</v>
      </c>
      <c r="M19" s="18">
        <v>3</v>
      </c>
      <c r="O19">
        <f t="shared" si="0"/>
        <v>7</v>
      </c>
    </row>
    <row r="20" spans="1:17" x14ac:dyDescent="0.15">
      <c r="B20">
        <v>1</v>
      </c>
      <c r="C20" s="7">
        <v>8</v>
      </c>
      <c r="D20" s="17">
        <v>9</v>
      </c>
      <c r="E20" s="18">
        <v>4</v>
      </c>
      <c r="F20" s="18">
        <v>4</v>
      </c>
      <c r="G20" s="18">
        <v>5</v>
      </c>
      <c r="H20" s="18">
        <v>9</v>
      </c>
      <c r="I20" s="18">
        <v>5</v>
      </c>
      <c r="J20" s="18">
        <v>8</v>
      </c>
      <c r="K20" s="18">
        <v>7</v>
      </c>
      <c r="L20" s="18">
        <v>5</v>
      </c>
      <c r="M20" s="18">
        <v>10</v>
      </c>
      <c r="O20">
        <f t="shared" si="0"/>
        <v>10</v>
      </c>
    </row>
    <row r="21" spans="1:17" x14ac:dyDescent="0.15">
      <c r="B21">
        <v>1</v>
      </c>
      <c r="C21" s="7">
        <v>9</v>
      </c>
      <c r="D21" s="17">
        <v>7</v>
      </c>
      <c r="E21" s="18">
        <v>6</v>
      </c>
      <c r="F21" s="18">
        <v>3</v>
      </c>
      <c r="G21" s="18">
        <v>6</v>
      </c>
      <c r="H21" s="18">
        <v>8</v>
      </c>
      <c r="I21" s="18">
        <v>5</v>
      </c>
      <c r="J21" s="18">
        <v>10</v>
      </c>
      <c r="K21" s="18">
        <v>3</v>
      </c>
      <c r="L21" s="18">
        <v>7</v>
      </c>
      <c r="M21" s="18">
        <v>9</v>
      </c>
      <c r="O21">
        <f t="shared" si="0"/>
        <v>10</v>
      </c>
    </row>
    <row r="22" spans="1:17" x14ac:dyDescent="0.15">
      <c r="B22">
        <v>1</v>
      </c>
      <c r="C22" s="7">
        <v>10</v>
      </c>
      <c r="D22" s="17">
        <v>3</v>
      </c>
      <c r="E22" s="18">
        <v>4</v>
      </c>
      <c r="F22" s="18">
        <v>1</v>
      </c>
      <c r="G22" s="18">
        <v>3</v>
      </c>
      <c r="H22" s="18">
        <v>10</v>
      </c>
      <c r="I22" s="18">
        <v>8</v>
      </c>
      <c r="J22" s="18">
        <v>6</v>
      </c>
      <c r="K22" s="18">
        <v>7</v>
      </c>
      <c r="L22" s="18">
        <v>3</v>
      </c>
      <c r="M22" s="18">
        <v>6</v>
      </c>
      <c r="O22">
        <f t="shared" si="0"/>
        <v>10</v>
      </c>
    </row>
    <row r="24" spans="1:17" x14ac:dyDescent="0.15">
      <c r="C24" s="7" t="s">
        <v>9</v>
      </c>
      <c r="D24">
        <f t="shared" ref="D24:M24" si="1">MIN(D13:D22)</f>
        <v>1</v>
      </c>
      <c r="E24">
        <f t="shared" si="1"/>
        <v>2</v>
      </c>
      <c r="F24">
        <f t="shared" si="1"/>
        <v>1</v>
      </c>
      <c r="G24">
        <f t="shared" si="1"/>
        <v>2</v>
      </c>
      <c r="H24">
        <f t="shared" si="1"/>
        <v>2</v>
      </c>
      <c r="I24">
        <f t="shared" si="1"/>
        <v>1</v>
      </c>
      <c r="J24">
        <f t="shared" si="1"/>
        <v>3</v>
      </c>
      <c r="K24">
        <f t="shared" si="1"/>
        <v>1</v>
      </c>
      <c r="L24">
        <f t="shared" si="1"/>
        <v>2</v>
      </c>
      <c r="M24">
        <f t="shared" si="1"/>
        <v>2</v>
      </c>
      <c r="N24" s="9" t="s">
        <v>10</v>
      </c>
      <c r="O24" s="8">
        <f>AVERAGE(D24:M24)</f>
        <v>1.7</v>
      </c>
    </row>
    <row r="25" spans="1:17" x14ac:dyDescent="0.15">
      <c r="A25" t="s">
        <v>1</v>
      </c>
    </row>
    <row r="26" spans="1:17" x14ac:dyDescent="0.15">
      <c r="C26" s="9" t="s">
        <v>3</v>
      </c>
      <c r="D26" s="7" t="s">
        <v>23</v>
      </c>
      <c r="E26" s="7" t="s">
        <v>25</v>
      </c>
      <c r="F26" s="7" t="s">
        <v>26</v>
      </c>
      <c r="G26" s="7" t="s">
        <v>27</v>
      </c>
      <c r="H26" s="7" t="s">
        <v>29</v>
      </c>
      <c r="I26" s="7" t="s">
        <v>28</v>
      </c>
      <c r="J26" s="7" t="s">
        <v>30</v>
      </c>
      <c r="K26" s="7" t="s">
        <v>31</v>
      </c>
      <c r="L26" s="7" t="s">
        <v>32</v>
      </c>
      <c r="M26" s="7" t="s">
        <v>33</v>
      </c>
      <c r="O26" t="s">
        <v>2</v>
      </c>
      <c r="P26" s="9" t="s">
        <v>34</v>
      </c>
      <c r="Q26" t="s">
        <v>5</v>
      </c>
    </row>
    <row r="27" spans="1:17" x14ac:dyDescent="0.15">
      <c r="C27" s="1">
        <v>1</v>
      </c>
      <c r="D27" s="2"/>
      <c r="E27" s="3"/>
      <c r="F27" s="3"/>
      <c r="G27" s="3"/>
      <c r="H27" s="3"/>
      <c r="I27" s="3"/>
      <c r="J27" s="3">
        <v>1</v>
      </c>
      <c r="K27" s="3"/>
      <c r="L27" s="3"/>
      <c r="M27" s="3"/>
      <c r="O27" t="str">
        <f t="shared" ref="O27:O36" ca="1" si="2">OFFSET($C$26,0,MATCH(1,D27:M27,0))</f>
        <v>g</v>
      </c>
      <c r="P27">
        <f t="shared" ref="P27:P36" si="3">SUMPRODUCT(D27:M27,D13:M13)</f>
        <v>3</v>
      </c>
      <c r="Q27" t="b">
        <f t="shared" ref="Q27:Q36" si="4">NOT(P27=O13)</f>
        <v>1</v>
      </c>
    </row>
    <row r="28" spans="1:17" x14ac:dyDescent="0.15">
      <c r="C28" s="1">
        <v>2</v>
      </c>
      <c r="D28" s="4"/>
      <c r="E28" s="5"/>
      <c r="F28" s="5"/>
      <c r="G28" s="5"/>
      <c r="H28" s="5"/>
      <c r="I28" s="5"/>
      <c r="J28" s="5"/>
      <c r="K28" s="5"/>
      <c r="L28" s="5"/>
      <c r="M28" s="5">
        <v>1</v>
      </c>
      <c r="O28" t="str">
        <f t="shared" ca="1" si="2"/>
        <v>j</v>
      </c>
      <c r="P28">
        <f t="shared" si="3"/>
        <v>2</v>
      </c>
      <c r="Q28" t="b">
        <f t="shared" si="4"/>
        <v>1</v>
      </c>
    </row>
    <row r="29" spans="1:17" x14ac:dyDescent="0.15">
      <c r="C29" s="1">
        <v>3</v>
      </c>
      <c r="D29" s="4"/>
      <c r="E29" s="5"/>
      <c r="F29" s="5"/>
      <c r="G29" s="5">
        <v>1</v>
      </c>
      <c r="H29" s="5"/>
      <c r="I29" s="5"/>
      <c r="J29" s="5"/>
      <c r="K29" s="5"/>
      <c r="L29" s="5"/>
      <c r="M29" s="5"/>
      <c r="O29" t="str">
        <f t="shared" ca="1" si="2"/>
        <v>d</v>
      </c>
      <c r="P29">
        <f t="shared" si="3"/>
        <v>2</v>
      </c>
      <c r="Q29" t="b">
        <f t="shared" si="4"/>
        <v>1</v>
      </c>
    </row>
    <row r="30" spans="1:17" x14ac:dyDescent="0.15">
      <c r="C30" s="1">
        <v>4</v>
      </c>
      <c r="D30" s="4">
        <v>1</v>
      </c>
      <c r="E30" s="5"/>
      <c r="F30" s="5"/>
      <c r="G30" s="5"/>
      <c r="H30" s="5"/>
      <c r="I30" s="5"/>
      <c r="J30" s="5"/>
      <c r="K30" s="5"/>
      <c r="L30" s="5"/>
      <c r="M30" s="5"/>
      <c r="O30" t="str">
        <f t="shared" ca="1" si="2"/>
        <v>a</v>
      </c>
      <c r="P30">
        <f t="shared" si="3"/>
        <v>1</v>
      </c>
      <c r="Q30" t="b">
        <f t="shared" si="4"/>
        <v>1</v>
      </c>
    </row>
    <row r="31" spans="1:17" x14ac:dyDescent="0.15">
      <c r="C31" s="1">
        <v>5</v>
      </c>
      <c r="D31" s="4"/>
      <c r="E31" s="5"/>
      <c r="F31" s="5"/>
      <c r="G31" s="5"/>
      <c r="H31" s="5"/>
      <c r="I31" s="5"/>
      <c r="J31" s="5"/>
      <c r="K31" s="5">
        <v>1</v>
      </c>
      <c r="L31" s="5"/>
      <c r="M31" s="5"/>
      <c r="O31" t="str">
        <f t="shared" ca="1" si="2"/>
        <v>h</v>
      </c>
      <c r="P31">
        <f t="shared" si="3"/>
        <v>1</v>
      </c>
      <c r="Q31" t="b">
        <f t="shared" si="4"/>
        <v>1</v>
      </c>
    </row>
    <row r="32" spans="1:17" x14ac:dyDescent="0.15">
      <c r="C32" s="1">
        <v>6</v>
      </c>
      <c r="D32" s="4"/>
      <c r="E32" s="5"/>
      <c r="F32" s="5"/>
      <c r="G32" s="5"/>
      <c r="H32" s="5"/>
      <c r="I32" s="5"/>
      <c r="J32" s="5"/>
      <c r="K32" s="5"/>
      <c r="L32" s="5">
        <v>1</v>
      </c>
      <c r="M32" s="5"/>
      <c r="O32" t="str">
        <f t="shared" ca="1" si="2"/>
        <v>i</v>
      </c>
      <c r="P32">
        <f t="shared" si="3"/>
        <v>2</v>
      </c>
      <c r="Q32" t="b">
        <f t="shared" si="4"/>
        <v>1</v>
      </c>
    </row>
    <row r="33" spans="3:54" x14ac:dyDescent="0.15">
      <c r="C33" s="1">
        <v>7</v>
      </c>
      <c r="D33" s="4"/>
      <c r="E33" s="5"/>
      <c r="F33" s="5"/>
      <c r="G33" s="5"/>
      <c r="H33" s="5">
        <v>1</v>
      </c>
      <c r="I33" s="5"/>
      <c r="J33" s="5"/>
      <c r="K33" s="5"/>
      <c r="L33" s="5"/>
      <c r="M33" s="5"/>
      <c r="O33" t="str">
        <f t="shared" ca="1" si="2"/>
        <v>e</v>
      </c>
      <c r="P33">
        <f t="shared" si="3"/>
        <v>2</v>
      </c>
      <c r="Q33" t="b">
        <f t="shared" si="4"/>
        <v>1</v>
      </c>
    </row>
    <row r="34" spans="3:54" x14ac:dyDescent="0.15">
      <c r="C34" s="1">
        <v>8</v>
      </c>
      <c r="D34" s="4"/>
      <c r="E34" s="5">
        <v>1</v>
      </c>
      <c r="F34" s="5"/>
      <c r="G34" s="5"/>
      <c r="H34" s="5"/>
      <c r="I34" s="5"/>
      <c r="J34" s="5"/>
      <c r="K34" s="5"/>
      <c r="L34" s="5"/>
      <c r="M34" s="5"/>
      <c r="O34" t="str">
        <f t="shared" ca="1" si="2"/>
        <v>b</v>
      </c>
      <c r="P34">
        <f t="shared" si="3"/>
        <v>4</v>
      </c>
      <c r="Q34" t="b">
        <f t="shared" si="4"/>
        <v>1</v>
      </c>
    </row>
    <row r="35" spans="3:54" x14ac:dyDescent="0.15">
      <c r="C35" s="1">
        <v>9</v>
      </c>
      <c r="D35" s="4"/>
      <c r="E35" s="5"/>
      <c r="F35" s="5"/>
      <c r="G35" s="5"/>
      <c r="H35" s="5"/>
      <c r="I35" s="5">
        <v>1</v>
      </c>
      <c r="J35" s="5"/>
      <c r="K35" s="5"/>
      <c r="L35" s="5"/>
      <c r="M35" s="5"/>
      <c r="O35" t="str">
        <f t="shared" ca="1" si="2"/>
        <v>f</v>
      </c>
      <c r="P35">
        <f t="shared" si="3"/>
        <v>5</v>
      </c>
      <c r="Q35" t="b">
        <f t="shared" si="4"/>
        <v>1</v>
      </c>
    </row>
    <row r="36" spans="3:54" x14ac:dyDescent="0.15">
      <c r="C36" s="1">
        <v>10</v>
      </c>
      <c r="D36" s="4"/>
      <c r="E36" s="5"/>
      <c r="F36" s="5">
        <v>1</v>
      </c>
      <c r="G36" s="5"/>
      <c r="H36" s="5"/>
      <c r="I36" s="5"/>
      <c r="J36" s="5"/>
      <c r="K36" s="5"/>
      <c r="L36" s="5"/>
      <c r="M36" s="5"/>
      <c r="O36" t="str">
        <f t="shared" ca="1" si="2"/>
        <v>c</v>
      </c>
      <c r="P36">
        <f t="shared" si="3"/>
        <v>1</v>
      </c>
      <c r="Q36" t="b">
        <f t="shared" si="4"/>
        <v>1</v>
      </c>
    </row>
    <row r="38" spans="3:54" x14ac:dyDescent="0.15">
      <c r="C38" t="s">
        <v>12</v>
      </c>
      <c r="D38">
        <f t="shared" ref="D38:M38" si="5">SUM(D27:D36)</f>
        <v>1</v>
      </c>
      <c r="E38">
        <f t="shared" si="5"/>
        <v>1</v>
      </c>
      <c r="F38">
        <f t="shared" si="5"/>
        <v>1</v>
      </c>
      <c r="G38">
        <f t="shared" si="5"/>
        <v>1</v>
      </c>
      <c r="H38">
        <f t="shared" si="5"/>
        <v>1</v>
      </c>
      <c r="I38">
        <f t="shared" si="5"/>
        <v>1</v>
      </c>
      <c r="J38">
        <f t="shared" si="5"/>
        <v>1</v>
      </c>
      <c r="K38">
        <f t="shared" si="5"/>
        <v>1</v>
      </c>
      <c r="L38">
        <f t="shared" si="5"/>
        <v>1</v>
      </c>
      <c r="M38">
        <f t="shared" si="5"/>
        <v>1</v>
      </c>
      <c r="O38" s="9" t="s">
        <v>35</v>
      </c>
      <c r="P38">
        <f>AVERAGE(P27:P36)</f>
        <v>2.2999999999999998</v>
      </c>
    </row>
    <row r="39" spans="3:54" x14ac:dyDescent="0.15">
      <c r="AS39" t="s">
        <v>4</v>
      </c>
      <c r="AT39" s="6">
        <f>AVERAGE(P27:P36)</f>
        <v>2.2999999999999998</v>
      </c>
      <c r="AX39" t="s">
        <v>4</v>
      </c>
      <c r="AY39" s="6" t="e">
        <f>AVERAGE(#REF!)</f>
        <v>#REF!</v>
      </c>
      <c r="BA39" t="s">
        <v>4</v>
      </c>
      <c r="BB39" s="6" t="e">
        <f>AVERAGE(#REF!)</f>
        <v>#REF!</v>
      </c>
    </row>
    <row r="40" spans="3:54" x14ac:dyDescent="0.15">
      <c r="AS40" t="s">
        <v>8</v>
      </c>
      <c r="AT40">
        <f>STDEV(P27:P36)</f>
        <v>1.3374935098492586</v>
      </c>
      <c r="AY40" t="e">
        <f>STDEV(#REF!)</f>
        <v>#REF!</v>
      </c>
      <c r="BB40" t="e">
        <f>STDEV(#REF!)</f>
        <v>#REF!</v>
      </c>
    </row>
  </sheetData>
  <sortState xmlns:xlrd2="http://schemas.microsoft.com/office/spreadsheetml/2017/richdata2" ref="B4:C6">
    <sortCondition ref="B4"/>
  </sortState>
  <mergeCells count="1">
    <mergeCell ref="B2:C2"/>
  </mergeCells>
  <phoneticPr fontId="1" type="noConversion"/>
  <conditionalFormatting sqref="Q27:Q36">
    <cfRule type="cellIs" dxfId="0" priority="1" stopIfTrue="1" operator="equal">
      <formula>FALSE</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4</xdr:col>
                    <xdr:colOff>0</xdr:colOff>
                    <xdr:row>0</xdr:row>
                    <xdr:rowOff>0</xdr:rowOff>
                  </from>
                  <to>
                    <xdr:col>6</xdr:col>
                    <xdr:colOff>0</xdr:colOff>
                    <xdr:row>4</xdr:row>
                    <xdr:rowOff>0</xdr:rowOff>
                  </to>
                </anchor>
              </controlPr>
            </control>
          </mc:Choice>
        </mc:AlternateContent>
        <mc:AlternateContent xmlns:mc="http://schemas.openxmlformats.org/markup-compatibility/2006">
          <mc:Choice Requires="x14">
            <control shapeId="1026" r:id="rId5" name="Button 2">
              <controlPr defaultSize="0" print="0" autoFill="0" autoPict="0" macro="[0]!random_matrix">
                <anchor moveWithCells="1" sizeWithCells="1">
                  <from>
                    <xdr:col>10</xdr:col>
                    <xdr:colOff>0</xdr:colOff>
                    <xdr:row>0</xdr:row>
                    <xdr:rowOff>0</xdr:rowOff>
                  </from>
                  <to>
                    <xdr:col>12</xdr:col>
                    <xdr:colOff>0</xdr:colOff>
                    <xdr:row>4</xdr:row>
                    <xdr:rowOff>0</xdr:rowOff>
                  </to>
                </anchor>
              </controlPr>
            </control>
          </mc:Choice>
        </mc:AlternateContent>
        <mc:AlternateContent xmlns:mc="http://schemas.openxmlformats.org/markup-compatibility/2006">
          <mc:Choice Requires="x14">
            <control shapeId="1027" r:id="rId6" name="Button 3">
              <controlPr defaultSize="0" print="0" autoFill="0" autoPict="0" macro="[0]!fill_in_blanks">
                <anchor moveWithCells="1">
                  <from>
                    <xdr:col>7</xdr:col>
                    <xdr:colOff>0</xdr:colOff>
                    <xdr:row>0</xdr:row>
                    <xdr:rowOff>0</xdr:rowOff>
                  </from>
                  <to>
                    <xdr:col>9</xdr:col>
                    <xdr:colOff>0</xdr:colOff>
                    <xdr:row>3</xdr:row>
                    <xdr:rowOff>139700</xdr:rowOff>
                  </to>
                </anchor>
              </controlPr>
            </control>
          </mc:Choice>
        </mc:AlternateContent>
        <mc:AlternateContent xmlns:mc="http://schemas.openxmlformats.org/markup-compatibility/2006">
          <mc:Choice Requires="x14">
            <control shapeId="1040" r:id="rId7" name="Button 16">
              <controlPr defaultSize="0" print="0" autoFill="0" autoPict="0" macro="[0]!set_input_range">
                <anchor moveWithCells="1">
                  <from>
                    <xdr:col>13</xdr:col>
                    <xdr:colOff>0</xdr:colOff>
                    <xdr:row>0</xdr:row>
                    <xdr:rowOff>0</xdr:rowOff>
                  </from>
                  <to>
                    <xdr:col>14</xdr:col>
                    <xdr:colOff>609600</xdr:colOff>
                    <xdr:row>3</xdr:row>
                    <xdr:rowOff>139700</xdr:rowOff>
                  </to>
                </anchor>
              </controlPr>
            </control>
          </mc:Choice>
        </mc:AlternateContent>
        <mc:AlternateContent xmlns:mc="http://schemas.openxmlformats.org/markup-compatibility/2006">
          <mc:Choice Requires="x14">
            <control shapeId="1041" r:id="rId8" name="Button 17">
              <controlPr defaultSize="0" print="0" autoFill="0" autoPict="0" macro="[0]!set_output_range">
                <anchor moveWithCells="1" sizeWithCells="1">
                  <from>
                    <xdr:col>13</xdr:col>
                    <xdr:colOff>0</xdr:colOff>
                    <xdr:row>5</xdr:row>
                    <xdr:rowOff>0</xdr:rowOff>
                  </from>
                  <to>
                    <xdr:col>14</xdr:col>
                    <xdr:colOff>609600</xdr:colOff>
                    <xdr:row>9</xdr:row>
                    <xdr:rowOff>25400</xdr:rowOff>
                  </to>
                </anchor>
              </controlPr>
            </control>
          </mc:Choice>
        </mc:AlternateContent>
        <mc:AlternateContent xmlns:mc="http://schemas.openxmlformats.org/markup-compatibility/2006">
          <mc:Choice Requires="x14">
            <control shapeId="1048" r:id="rId9" name="Button 24">
              <controlPr defaultSize="0" print="0" autoFill="0" autoPict="0" macro="[0]!fill_blanks_equally">
                <anchor moveWithCells="1">
                  <from>
                    <xdr:col>7</xdr:col>
                    <xdr:colOff>0</xdr:colOff>
                    <xdr:row>5</xdr:row>
                    <xdr:rowOff>0</xdr:rowOff>
                  </from>
                  <to>
                    <xdr:col>9</xdr:col>
                    <xdr:colOff>0</xdr:colOff>
                    <xdr:row>8</xdr:row>
                    <xdr:rowOff>152400</xdr:rowOff>
                  </to>
                </anchor>
              </controlPr>
            </control>
          </mc:Choice>
        </mc:AlternateContent>
        <mc:AlternateContent xmlns:mc="http://schemas.openxmlformats.org/markup-compatibility/2006">
          <mc:Choice Requires="x14">
            <control shapeId="1049" r:id="rId10" name="Button 25">
              <controlPr defaultSize="0" print="0" autoFill="0" autoPict="0" macro="[0]!set_allocated_range">
                <anchor moveWithCells="1" sizeWithCells="1">
                  <from>
                    <xdr:col>16</xdr:col>
                    <xdr:colOff>0</xdr:colOff>
                    <xdr:row>0</xdr:row>
                    <xdr:rowOff>0</xdr:rowOff>
                  </from>
                  <to>
                    <xdr:col>18</xdr:col>
                    <xdr:colOff>0</xdr:colOff>
                    <xdr:row>4</xdr:row>
                    <xdr:rowOff>0</xdr:rowOff>
                  </to>
                </anchor>
              </controlPr>
            </control>
          </mc:Choice>
        </mc:AlternateContent>
        <mc:AlternateContent xmlns:mc="http://schemas.openxmlformats.org/markup-compatibility/2006">
          <mc:Choice Requires="x14">
            <control shapeId="1050" r:id="rId11" name="Button 26">
              <controlPr defaultSize="0" print="0" autoFill="0" autoPict="0" macro="[0]!set_PriorityGroup_range">
                <anchor moveWithCells="1" sizeWithCells="1">
                  <from>
                    <xdr:col>16</xdr:col>
                    <xdr:colOff>0</xdr:colOff>
                    <xdr:row>5</xdr:row>
                    <xdr:rowOff>0</xdr:rowOff>
                  </from>
                  <to>
                    <xdr:col>18</xdr:col>
                    <xdr:colOff>0</xdr:colOff>
                    <xdr:row>9</xdr:row>
                    <xdr:rowOff>0</xdr:rowOff>
                  </to>
                </anchor>
              </controlPr>
            </control>
          </mc:Choice>
        </mc:AlternateContent>
        <mc:AlternateContent xmlns:mc="http://schemas.openxmlformats.org/markup-compatibility/2006">
          <mc:Choice Requires="x14">
            <control shapeId="1051" r:id="rId12" name="Button 27">
              <controlPr defaultSize="0" print="0" autoFill="0" autoPict="0" macro="[0]!multiRun">
                <anchor moveWithCells="1" sizeWithCells="1">
                  <from>
                    <xdr:col>4</xdr:col>
                    <xdr:colOff>0</xdr:colOff>
                    <xdr:row>5</xdr:row>
                    <xdr:rowOff>0</xdr:rowOff>
                  </from>
                  <to>
                    <xdr:col>6</xdr:col>
                    <xdr:colOff>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6"/>
  <sheetViews>
    <sheetView workbookViewId="0">
      <selection activeCell="B7" sqref="B7"/>
    </sheetView>
  </sheetViews>
  <sheetFormatPr baseColWidth="10" defaultColWidth="8.83203125" defaultRowHeight="13" x14ac:dyDescent="0.15"/>
  <sheetData>
    <row r="1" spans="1:2" x14ac:dyDescent="0.15">
      <c r="A1" t="s">
        <v>13</v>
      </c>
    </row>
    <row r="4" spans="1:2" x14ac:dyDescent="0.15">
      <c r="A4" t="s">
        <v>14</v>
      </c>
      <c r="B4" t="s">
        <v>15</v>
      </c>
    </row>
    <row r="5" spans="1:2" x14ac:dyDescent="0.15">
      <c r="A5" t="s">
        <v>16</v>
      </c>
      <c r="B5" t="s">
        <v>18</v>
      </c>
    </row>
    <row r="6" spans="1:2" x14ac:dyDescent="0.15">
      <c r="A6" t="s">
        <v>17</v>
      </c>
      <c r="B6" s="9" t="s">
        <v>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Introduction</vt:lpstr>
      <vt:lpstr>Model</vt:lpstr>
      <vt:lpstr>Version log</vt:lpstr>
      <vt:lpstr>allocated</vt:lpstr>
      <vt:lpstr>Blanks</vt:lpstr>
      <vt:lpstr>input</vt:lpstr>
      <vt:lpstr>output</vt:lpstr>
      <vt:lpstr>PriorityGroups</vt:lpstr>
    </vt:vector>
  </TitlesOfParts>
  <Company>Ministry of Justice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Hirsch</dc:creator>
  <cp:lastModifiedBy>Hirsch, Thomas</cp:lastModifiedBy>
  <dcterms:created xsi:type="dcterms:W3CDTF">2014-10-30T15:15:58Z</dcterms:created>
  <dcterms:modified xsi:type="dcterms:W3CDTF">2021-03-03T11:41:56Z</dcterms:modified>
</cp:coreProperties>
</file>